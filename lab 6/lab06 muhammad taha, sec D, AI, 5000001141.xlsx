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NIVERSITY\ICT\mam rashida ICT\lab6\"/>
    </mc:Choice>
  </mc:AlternateContent>
  <xr:revisionPtr revIDLastSave="0" documentId="13_ncr:1_{49623502-3427-4CB4-A11F-73ED81AC13F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ask1" sheetId="1" r:id="rId1"/>
    <sheet name="Task2" sheetId="2" r:id="rId2"/>
    <sheet name="Task 3 " sheetId="3" r:id="rId3"/>
    <sheet name="Sheet5" sheetId="4" r:id="rId4"/>
    <sheet name="Task 4" sheetId="5" r:id="rId5"/>
  </sheets>
  <definedNames>
    <definedName name="_xlnm._FilterDatabase" localSheetId="4" hidden="1">'Task 4'!$B$2:$F$8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3" l="1"/>
  <c r="C2" i="2"/>
  <c r="D1" i="3"/>
  <c r="E1" i="3" s="1"/>
  <c r="D7" i="3"/>
  <c r="E7" i="3" s="1"/>
  <c r="D3" i="3"/>
  <c r="E3" i="3" s="1"/>
  <c r="D8" i="3"/>
  <c r="E8" i="3" s="1"/>
  <c r="D6" i="3"/>
  <c r="E6" i="3" s="1"/>
  <c r="D5" i="3"/>
  <c r="E5" i="3" s="1"/>
  <c r="D2" i="3"/>
  <c r="E2" i="3" s="1"/>
  <c r="C7" i="3"/>
  <c r="C3" i="3"/>
  <c r="C8" i="3"/>
  <c r="C6" i="3"/>
  <c r="C5" i="3"/>
  <c r="C2" i="3"/>
  <c r="B25" i="2"/>
  <c r="C25" i="1"/>
  <c r="E8" i="5"/>
  <c r="F8" i="5" s="1"/>
  <c r="E7" i="5"/>
  <c r="F7" i="5" s="1"/>
  <c r="E6" i="5"/>
  <c r="F6" i="5" s="1"/>
  <c r="E5" i="5"/>
  <c r="F5" i="5" s="1"/>
  <c r="E4" i="5"/>
  <c r="F4" i="5" s="1"/>
  <c r="E3" i="5"/>
  <c r="F3" i="5" s="1"/>
  <c r="C10" i="4"/>
  <c r="C9" i="4"/>
  <c r="C8" i="4"/>
  <c r="C7" i="4"/>
  <c r="C6" i="4"/>
  <c r="C5" i="4"/>
  <c r="C4" i="4"/>
  <c r="C3" i="4"/>
</calcChain>
</file>

<file path=xl/sharedStrings.xml><?xml version="1.0" encoding="utf-8"?>
<sst xmlns="http://schemas.openxmlformats.org/spreadsheetml/2006/main" count="182" uniqueCount="99">
  <si>
    <t xml:space="preserve">    Name</t>
  </si>
  <si>
    <t>Type 1</t>
  </si>
  <si>
    <t>Type 2</t>
  </si>
  <si>
    <t>Total stats</t>
  </si>
  <si>
    <t xml:space="preserve">    Mankey</t>
  </si>
  <si>
    <t>Fighting</t>
  </si>
  <si>
    <t>Mon</t>
  </si>
  <si>
    <t>January</t>
  </si>
  <si>
    <t>Jan</t>
  </si>
  <si>
    <t xml:space="preserve">    Poliwrath</t>
  </si>
  <si>
    <t>Water</t>
  </si>
  <si>
    <t>Tue</t>
  </si>
  <si>
    <t>February</t>
  </si>
  <si>
    <t>Feb</t>
  </si>
  <si>
    <t xml:space="preserve">    Victreebel</t>
  </si>
  <si>
    <t>Grass</t>
  </si>
  <si>
    <t>Poison</t>
  </si>
  <si>
    <t>Wed</t>
  </si>
  <si>
    <t>March</t>
  </si>
  <si>
    <t>Mar</t>
  </si>
  <si>
    <t xml:space="preserve">    Tentacool</t>
  </si>
  <si>
    <t>Thu</t>
  </si>
  <si>
    <t>April</t>
  </si>
  <si>
    <t>Apr</t>
  </si>
  <si>
    <t xml:space="preserve">    Magneton</t>
  </si>
  <si>
    <t>Electric</t>
  </si>
  <si>
    <t>Steel</t>
  </si>
  <si>
    <t>Fri</t>
  </si>
  <si>
    <t>May</t>
  </si>
  <si>
    <t xml:space="preserve">    Dewgong</t>
  </si>
  <si>
    <t>Ice</t>
  </si>
  <si>
    <t>Sat</t>
  </si>
  <si>
    <t>June</t>
  </si>
  <si>
    <t>Jun</t>
  </si>
  <si>
    <t xml:space="preserve">    Cloyster</t>
  </si>
  <si>
    <t>Sun</t>
  </si>
  <si>
    <t>July</t>
  </si>
  <si>
    <t>Jul</t>
  </si>
  <si>
    <t xml:space="preserve">    Onix</t>
  </si>
  <si>
    <t>Rock</t>
  </si>
  <si>
    <t>Ground</t>
  </si>
  <si>
    <t>August</t>
  </si>
  <si>
    <t>Aug</t>
  </si>
  <si>
    <t xml:space="preserve">    Dragonair</t>
  </si>
  <si>
    <t>Dragon</t>
  </si>
  <si>
    <t>September</t>
  </si>
  <si>
    <t>Sep</t>
  </si>
  <si>
    <t xml:space="preserve">    Pidgeotto</t>
  </si>
  <si>
    <t>Normal</t>
  </si>
  <si>
    <t>Flying</t>
  </si>
  <si>
    <t>October</t>
  </si>
  <si>
    <t>Oct</t>
  </si>
  <si>
    <t xml:space="preserve">    Rattata</t>
  </si>
  <si>
    <t>November</t>
  </si>
  <si>
    <t>Nov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</si>
  <si>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</si>
  <si>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</si>
  <si>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</si>
  <si>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</si>
  <si>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</si>
  <si>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 xml:space="preserve">    Hitmonchan</t>
  </si>
  <si>
    <t xml:space="preserve">    Charmeleon</t>
  </si>
  <si>
    <t>Fire</t>
  </si>
  <si>
    <t xml:space="preserve">    Arbok</t>
  </si>
  <si>
    <t xml:space="preserve">    Gastly</t>
  </si>
  <si>
    <t>Ghost</t>
  </si>
  <si>
    <t xml:space="preserve">    Magikarp</t>
  </si>
  <si>
    <t xml:space="preserve">    </t>
  </si>
  <si>
    <t>CountBlank</t>
  </si>
  <si>
    <t>First Name</t>
  </si>
  <si>
    <t>Last name</t>
  </si>
  <si>
    <t>Full name</t>
  </si>
  <si>
    <t>Email</t>
  </si>
  <si>
    <t>Ali</t>
  </si>
  <si>
    <t>Ahmed</t>
  </si>
  <si>
    <t>Waqas</t>
  </si>
  <si>
    <t>Sanam</t>
  </si>
  <si>
    <t>Murtaza</t>
  </si>
  <si>
    <t xml:space="preserve">Ameer </t>
  </si>
  <si>
    <t>Zainab</t>
  </si>
  <si>
    <t>Khan</t>
  </si>
  <si>
    <t>Masoma</t>
  </si>
  <si>
    <t>Kamran</t>
  </si>
  <si>
    <t>Marks</t>
  </si>
  <si>
    <t>Result</t>
  </si>
  <si>
    <t>Product Data</t>
  </si>
  <si>
    <t>Product</t>
  </si>
  <si>
    <t>QTY</t>
  </si>
  <si>
    <t>Price Per unit</t>
  </si>
  <si>
    <t>Cost</t>
  </si>
  <si>
    <t>Remarks</t>
  </si>
  <si>
    <t>Keyboard</t>
  </si>
  <si>
    <t>Mouse</t>
  </si>
  <si>
    <t>CPU</t>
  </si>
  <si>
    <t>Speakers</t>
  </si>
  <si>
    <t>Scanners</t>
  </si>
  <si>
    <t>Joystick</t>
  </si>
  <si>
    <t>countA=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</si>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</sst>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0" fillId="0" borderId="10" xfId="0" applyBorder="1"/>
    <xf numFmtId="0" fontId="2" fillId="0" borderId="10" xfId="0" applyFont="1" applyBorder="1" applyAlignment="1">
      <alignment vertical="top"/>
    </xf>
    <xf numFmtId="0" fontId="0" fillId="0" borderId="10" xfId="0" applyBorder="1" applyAlignment="1">
      <alignment horizontal="left"/>
    </xf>
    <xf numFmtId="0" fontId="2" fillId="0" borderId="10" xfId="0" applyFont="1" applyBorder="1"/>
    <xf numFmtId="0" fontId="5" fillId="0" borderId="0" xfId="0" applyFont="1"/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Task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D23">
  <autoFilter ref="A2:D23" xr:uid="{00000000-000C-0000-FFFF-FFFF00000000}"/>
  <sortState xmlns:xlrd2="http://schemas.microsoft.com/office/spreadsheetml/2017/richdata2" ref="A3:D23">
    <sortCondition ref="A2:A23"/>
  </sortState>
  <tableColumns count="4">
    <tableColumn id="1" xr3:uid="{00000000-0010-0000-0000-000001000000}" name="    Name"/>
    <tableColumn id="2" xr3:uid="{00000000-0010-0000-0000-000002000000}" name="Type 1"/>
    <tableColumn id="3" xr3:uid="{00000000-0010-0000-0000-000003000000}" name="Type 2"/>
    <tableColumn id="4" xr3:uid="{00000000-0010-0000-0000-000004000000}" name="Total stats"/>
  </tableColumns>
  <tableStyleInfo name="Task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2" zoomScaleNormal="108" workbookViewId="0">
      <selection activeCell="I26" sqref="I26"/>
    </sheetView>
  </sheetViews>
  <sheetFormatPr defaultColWidth="12.6328125" defaultRowHeight="15" customHeight="1" x14ac:dyDescent="0.35"/>
  <cols>
    <col min="1" max="1" width="12.08984375" customWidth="1"/>
    <col min="2" max="2" width="13.6328125" bestFit="1" customWidth="1"/>
    <col min="3" max="3" width="8.08984375" customWidth="1"/>
    <col min="4" max="4" width="11.36328125" customWidth="1"/>
    <col min="5" max="26" width="8.6328125" customWidth="1"/>
  </cols>
  <sheetData>
    <row r="1" spans="1:11" ht="14.25" customHeight="1" x14ac:dyDescent="0.35"/>
    <row r="2" spans="1:11" ht="14.25" customHeight="1" x14ac:dyDescent="0.35">
      <c r="A2" s="1" t="s">
        <v>0</v>
      </c>
      <c r="B2" s="2" t="s">
        <v>1</v>
      </c>
      <c r="C2" s="2" t="s">
        <v>2</v>
      </c>
      <c r="D2" s="3" t="s">
        <v>3</v>
      </c>
    </row>
    <row r="3" spans="1:11" ht="14.25" customHeight="1" x14ac:dyDescent="0.35">
      <c r="A3" s="4" t="s">
        <v>67</v>
      </c>
      <c r="B3" s="5"/>
      <c r="C3" s="5"/>
      <c r="D3" s="6"/>
      <c r="H3" s="7" t="s">
        <v>6</v>
      </c>
      <c r="I3" s="7" t="s">
        <v>7</v>
      </c>
      <c r="J3" s="7" t="s">
        <v>8</v>
      </c>
    </row>
    <row r="4" spans="1:11" ht="14.25" customHeight="1" x14ac:dyDescent="0.35">
      <c r="A4" s="4" t="s">
        <v>63</v>
      </c>
      <c r="B4" s="5" t="s">
        <v>16</v>
      </c>
      <c r="C4" s="5"/>
      <c r="D4" s="6">
        <v>438</v>
      </c>
      <c r="H4" s="7" t="s">
        <v>11</v>
      </c>
      <c r="I4" s="7" t="s">
        <v>12</v>
      </c>
      <c r="J4" s="7" t="s">
        <v>13</v>
      </c>
      <c r="K4" s="7">
        <v>100</v>
      </c>
    </row>
    <row r="5" spans="1:11" ht="14.25" customHeight="1" x14ac:dyDescent="0.35">
      <c r="A5" s="4" t="s">
        <v>55</v>
      </c>
      <c r="B5" s="5" t="s">
        <v>56</v>
      </c>
      <c r="C5" s="5" t="s">
        <v>16</v>
      </c>
      <c r="D5" s="6">
        <v>395</v>
      </c>
      <c r="H5" s="7" t="s">
        <v>17</v>
      </c>
      <c r="I5" s="7" t="s">
        <v>18</v>
      </c>
      <c r="J5" s="7" t="s">
        <v>19</v>
      </c>
    </row>
    <row r="6" spans="1:11" ht="14.25" customHeight="1" x14ac:dyDescent="0.35">
      <c r="A6" s="4" t="s">
        <v>61</v>
      </c>
      <c r="B6" s="5" t="s">
        <v>62</v>
      </c>
      <c r="C6" s="5"/>
      <c r="D6" s="6">
        <v>405</v>
      </c>
      <c r="H6" s="7" t="s">
        <v>21</v>
      </c>
      <c r="I6" s="7" t="s">
        <v>22</v>
      </c>
      <c r="J6" s="7" t="s">
        <v>23</v>
      </c>
    </row>
    <row r="7" spans="1:11" ht="14.25" customHeight="1" x14ac:dyDescent="0.35">
      <c r="A7" s="4" t="s">
        <v>34</v>
      </c>
      <c r="B7" s="5" t="s">
        <v>10</v>
      </c>
      <c r="C7" s="5" t="s">
        <v>30</v>
      </c>
      <c r="D7" s="6">
        <v>525</v>
      </c>
      <c r="H7" s="7" t="s">
        <v>27</v>
      </c>
      <c r="I7" s="7" t="s">
        <v>28</v>
      </c>
      <c r="J7" s="7" t="s">
        <v>28</v>
      </c>
    </row>
    <row r="8" spans="1:11" ht="14.25" customHeight="1" x14ac:dyDescent="0.35">
      <c r="A8" s="4" t="s">
        <v>29</v>
      </c>
      <c r="B8" s="5" t="s">
        <v>10</v>
      </c>
      <c r="C8" s="5" t="s">
        <v>30</v>
      </c>
      <c r="D8" s="6">
        <v>475</v>
      </c>
      <c r="H8" s="7" t="s">
        <v>31</v>
      </c>
      <c r="I8" s="7" t="s">
        <v>32</v>
      </c>
      <c r="J8" s="7" t="s">
        <v>33</v>
      </c>
    </row>
    <row r="9" spans="1:11" ht="14.25" customHeight="1" x14ac:dyDescent="0.35">
      <c r="A9" s="4" t="s">
        <v>57</v>
      </c>
      <c r="B9" s="5" t="s">
        <v>48</v>
      </c>
      <c r="C9" s="5" t="s">
        <v>49</v>
      </c>
      <c r="D9" s="6">
        <v>310</v>
      </c>
      <c r="H9" s="7" t="s">
        <v>35</v>
      </c>
      <c r="I9" s="7" t="s">
        <v>36</v>
      </c>
      <c r="J9" s="7" t="s">
        <v>37</v>
      </c>
    </row>
    <row r="10" spans="1:11" ht="14.25" customHeight="1" x14ac:dyDescent="0.35">
      <c r="A10" s="4" t="s">
        <v>43</v>
      </c>
      <c r="B10" s="5" t="s">
        <v>44</v>
      </c>
      <c r="C10" s="5"/>
      <c r="D10" s="6">
        <v>420</v>
      </c>
      <c r="H10" s="7" t="s">
        <v>6</v>
      </c>
      <c r="I10" s="7" t="s">
        <v>41</v>
      </c>
      <c r="J10" s="7" t="s">
        <v>42</v>
      </c>
    </row>
    <row r="11" spans="1:11" ht="14.25" customHeight="1" x14ac:dyDescent="0.35">
      <c r="A11" s="4" t="s">
        <v>64</v>
      </c>
      <c r="B11" s="5" t="s">
        <v>65</v>
      </c>
      <c r="C11" s="5" t="s">
        <v>16</v>
      </c>
      <c r="D11" s="6">
        <v>310</v>
      </c>
      <c r="H11" s="7" t="s">
        <v>11</v>
      </c>
      <c r="I11" s="7" t="s">
        <v>45</v>
      </c>
      <c r="J11" s="7" t="s">
        <v>46</v>
      </c>
    </row>
    <row r="12" spans="1:11" ht="14.25" customHeight="1" x14ac:dyDescent="0.35">
      <c r="A12" s="4" t="s">
        <v>60</v>
      </c>
      <c r="B12" s="5" t="s">
        <v>5</v>
      </c>
      <c r="C12" s="5"/>
      <c r="D12" s="6">
        <v>455</v>
      </c>
      <c r="H12" s="7" t="s">
        <v>17</v>
      </c>
      <c r="I12" s="7" t="s">
        <v>50</v>
      </c>
      <c r="J12" s="7" t="s">
        <v>51</v>
      </c>
    </row>
    <row r="13" spans="1:11" ht="14.25" customHeight="1" x14ac:dyDescent="0.35">
      <c r="A13" s="4" t="s">
        <v>58</v>
      </c>
      <c r="B13" s="5" t="s">
        <v>10</v>
      </c>
      <c r="C13" s="5"/>
      <c r="D13" s="6">
        <v>475</v>
      </c>
      <c r="H13" s="7" t="s">
        <v>21</v>
      </c>
      <c r="I13" s="7" t="s">
        <v>53</v>
      </c>
      <c r="J13" s="7" t="s">
        <v>54</v>
      </c>
    </row>
    <row r="14" spans="1:11" ht="14.25" customHeight="1" x14ac:dyDescent="0.35">
      <c r="A14" s="4" t="s">
        <v>66</v>
      </c>
      <c r="B14" s="5" t="s">
        <v>10</v>
      </c>
      <c r="C14" s="5"/>
      <c r="D14" s="6">
        <v>200</v>
      </c>
    </row>
    <row r="15" spans="1:11" ht="14.25" customHeight="1" x14ac:dyDescent="0.35">
      <c r="A15" s="4" t="s">
        <v>24</v>
      </c>
      <c r="B15" s="5" t="s">
        <v>25</v>
      </c>
      <c r="C15" s="5" t="s">
        <v>26</v>
      </c>
      <c r="D15" s="6">
        <v>465</v>
      </c>
    </row>
    <row r="16" spans="1:11" ht="14.25" customHeight="1" x14ac:dyDescent="0.35">
      <c r="A16" s="4" t="s">
        <v>4</v>
      </c>
      <c r="B16" s="5" t="s">
        <v>5</v>
      </c>
      <c r="C16" s="5"/>
      <c r="D16" s="6">
        <v>305</v>
      </c>
    </row>
    <row r="17" spans="1:4" ht="14.25" customHeight="1" x14ac:dyDescent="0.35">
      <c r="A17" s="4" t="s">
        <v>59</v>
      </c>
      <c r="B17" s="5" t="s">
        <v>16</v>
      </c>
      <c r="C17" s="5" t="s">
        <v>40</v>
      </c>
      <c r="D17" s="6">
        <v>505</v>
      </c>
    </row>
    <row r="18" spans="1:4" ht="14.25" customHeight="1" x14ac:dyDescent="0.35">
      <c r="A18" s="4" t="s">
        <v>38</v>
      </c>
      <c r="B18" s="5" t="s">
        <v>39</v>
      </c>
      <c r="C18" s="5" t="s">
        <v>40</v>
      </c>
      <c r="D18" s="6">
        <v>385</v>
      </c>
    </row>
    <row r="19" spans="1:4" ht="14.25" customHeight="1" x14ac:dyDescent="0.35">
      <c r="A19" s="4" t="s">
        <v>47</v>
      </c>
      <c r="B19" s="5" t="s">
        <v>48</v>
      </c>
      <c r="C19" s="5" t="s">
        <v>49</v>
      </c>
      <c r="D19" s="6">
        <v>349</v>
      </c>
    </row>
    <row r="20" spans="1:4" ht="14.25" customHeight="1" x14ac:dyDescent="0.35">
      <c r="A20" s="4" t="s">
        <v>9</v>
      </c>
      <c r="B20" s="5" t="s">
        <v>10</v>
      </c>
      <c r="C20" s="5" t="s">
        <v>5</v>
      </c>
      <c r="D20" s="6">
        <v>510</v>
      </c>
    </row>
    <row r="21" spans="1:4" ht="14.25" customHeight="1" x14ac:dyDescent="0.35">
      <c r="A21" s="4" t="s">
        <v>52</v>
      </c>
      <c r="B21" s="5" t="s">
        <v>48</v>
      </c>
      <c r="C21" s="5"/>
      <c r="D21" s="6">
        <v>253</v>
      </c>
    </row>
    <row r="22" spans="1:4" ht="14.25" customHeight="1" x14ac:dyDescent="0.35">
      <c r="A22" s="4" t="s">
        <v>20</v>
      </c>
      <c r="B22" s="5" t="s">
        <v>10</v>
      </c>
      <c r="C22" s="5" t="s">
        <v>16</v>
      </c>
      <c r="D22" s="6">
        <v>335</v>
      </c>
    </row>
    <row r="23" spans="1:4" ht="14.25" customHeight="1" x14ac:dyDescent="0.35">
      <c r="A23" s="8" t="s">
        <v>14</v>
      </c>
      <c r="B23" s="9" t="s">
        <v>15</v>
      </c>
      <c r="C23" s="9" t="s">
        <v>16</v>
      </c>
      <c r="D23" s="10">
        <v>490</v>
      </c>
    </row>
    <row r="24" spans="1:4" ht="14.25" customHeight="1" x14ac:dyDescent="0.35"/>
    <row r="25" spans="1:4" ht="48" customHeight="1" x14ac:dyDescent="0.45">
      <c r="B25" s="16" t="s">
        <v>68</v>
      </c>
      <c r="C25" s="16">
        <f>COUNTBLANK(A3:D22)</f>
        <v>11</v>
      </c>
    </row>
    <row r="26" spans="1:4" ht="14.25" customHeight="1" x14ac:dyDescent="0.35"/>
    <row r="27" spans="1:4" ht="14.25" customHeight="1" x14ac:dyDescent="0.35"/>
    <row r="28" spans="1:4" ht="14.25" customHeight="1" x14ac:dyDescent="0.35"/>
    <row r="29" spans="1:4" ht="14.25" customHeight="1" x14ac:dyDescent="0.35"/>
    <row r="30" spans="1:4" ht="14.25" customHeight="1" x14ac:dyDescent="0.35"/>
    <row r="31" spans="1:4" ht="14.25" customHeight="1" x14ac:dyDescent="0.35"/>
    <row r="32" spans="1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sortState xmlns:xlrd2="http://schemas.microsoft.com/office/spreadsheetml/2017/richdata2" ref="B25:C25">
    <sortCondition ref="B25"/>
  </sortState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74" workbookViewId="0">
      <selection activeCell="C2" sqref="C2"/>
    </sheetView>
  </sheetViews>
  <sheetFormatPr defaultColWidth="12.6328125" defaultRowHeight="15" customHeight="1" x14ac:dyDescent="0.35"/>
  <cols>
    <col min="1" max="1" width="13.90625" customWidth="1"/>
    <col min="2" max="2" width="18.90625" customWidth="1"/>
    <col min="3" max="3" width="18.6328125" customWidth="1"/>
    <col min="4" max="4" width="19" customWidth="1"/>
    <col min="5" max="26" width="8.6328125" customWidth="1"/>
  </cols>
  <sheetData>
    <row r="1" spans="1:7" ht="14.25" customHeight="1" x14ac:dyDescent="0.35">
      <c r="A1" s="7" t="s">
        <v>0</v>
      </c>
      <c r="B1" s="7" t="s">
        <v>1</v>
      </c>
      <c r="C1" s="7" t="s">
        <v>2</v>
      </c>
      <c r="D1" s="7" t="s">
        <v>3</v>
      </c>
    </row>
    <row r="2" spans="1:7" ht="14.25" customHeight="1" x14ac:dyDescent="0.35">
      <c r="A2" s="7" t="s">
        <v>67</v>
      </c>
      <c r="C2" s="7">
        <f>COUNTBLANK(C1:C1)</f>
        <v>0</v>
      </c>
    </row>
    <row r="3" spans="1:7" ht="14.25" customHeight="1" x14ac:dyDescent="0.35">
      <c r="A3" s="7" t="s">
        <v>63</v>
      </c>
      <c r="B3" s="7" t="s">
        <v>16</v>
      </c>
      <c r="D3" s="7">
        <v>438</v>
      </c>
    </row>
    <row r="4" spans="1:7" ht="14.25" customHeight="1" x14ac:dyDescent="0.35">
      <c r="A4" s="7" t="s">
        <v>55</v>
      </c>
      <c r="B4" s="7" t="s">
        <v>56</v>
      </c>
      <c r="C4" s="7" t="s">
        <v>16</v>
      </c>
      <c r="D4" s="7">
        <v>395</v>
      </c>
      <c r="F4" s="7">
        <v>104</v>
      </c>
      <c r="G4" s="7">
        <v>8000</v>
      </c>
    </row>
    <row r="5" spans="1:7" ht="14.25" customHeight="1" x14ac:dyDescent="0.35">
      <c r="A5" s="7" t="s">
        <v>61</v>
      </c>
      <c r="B5" s="7" t="s">
        <v>62</v>
      </c>
      <c r="D5" s="7">
        <v>405</v>
      </c>
    </row>
    <row r="6" spans="1:7" ht="14.25" customHeight="1" x14ac:dyDescent="0.35">
      <c r="A6" s="7" t="s">
        <v>34</v>
      </c>
      <c r="B6" s="7" t="s">
        <v>10</v>
      </c>
      <c r="C6" s="7" t="s">
        <v>30</v>
      </c>
      <c r="D6" s="7">
        <v>525</v>
      </c>
      <c r="G6" s="7">
        <v>3000</v>
      </c>
    </row>
    <row r="7" spans="1:7" ht="14.25" customHeight="1" x14ac:dyDescent="0.35">
      <c r="A7" s="7" t="s">
        <v>29</v>
      </c>
      <c r="B7" s="7" t="s">
        <v>10</v>
      </c>
      <c r="C7" s="7" t="s">
        <v>30</v>
      </c>
      <c r="D7" s="7">
        <v>475</v>
      </c>
      <c r="G7" s="7">
        <v>2000</v>
      </c>
    </row>
    <row r="8" spans="1:7" ht="14.25" customHeight="1" x14ac:dyDescent="0.35">
      <c r="A8" s="7" t="s">
        <v>57</v>
      </c>
      <c r="B8" s="7" t="s">
        <v>48</v>
      </c>
      <c r="C8" s="7" t="s">
        <v>49</v>
      </c>
      <c r="D8" s="7">
        <v>310</v>
      </c>
      <c r="F8" s="7">
        <v>105</v>
      </c>
      <c r="G8" s="7">
        <v>9000</v>
      </c>
    </row>
    <row r="9" spans="1:7" ht="14.25" customHeight="1" x14ac:dyDescent="0.35">
      <c r="A9" s="7" t="s">
        <v>43</v>
      </c>
      <c r="B9" s="7" t="s">
        <v>44</v>
      </c>
      <c r="D9" s="7">
        <v>420</v>
      </c>
      <c r="F9" s="7">
        <v>101</v>
      </c>
      <c r="G9" s="7">
        <v>5000</v>
      </c>
    </row>
    <row r="10" spans="1:7" ht="14.25" customHeight="1" x14ac:dyDescent="0.35">
      <c r="A10" s="7" t="s">
        <v>64</v>
      </c>
      <c r="B10" s="7" t="s">
        <v>65</v>
      </c>
      <c r="C10" s="7" t="s">
        <v>16</v>
      </c>
      <c r="D10" s="7">
        <v>310</v>
      </c>
    </row>
    <row r="11" spans="1:7" ht="14.25" customHeight="1" x14ac:dyDescent="0.35">
      <c r="A11" s="7" t="s">
        <v>60</v>
      </c>
      <c r="B11" s="7" t="s">
        <v>5</v>
      </c>
      <c r="D11" s="7">
        <v>455</v>
      </c>
      <c r="F11" s="7">
        <v>108</v>
      </c>
      <c r="G11" s="7">
        <v>12000</v>
      </c>
    </row>
    <row r="12" spans="1:7" ht="14.25" customHeight="1" x14ac:dyDescent="0.35">
      <c r="A12" s="7" t="s">
        <v>58</v>
      </c>
      <c r="B12" s="7" t="s">
        <v>10</v>
      </c>
      <c r="D12" s="7">
        <v>475</v>
      </c>
      <c r="F12" s="7">
        <v>106</v>
      </c>
      <c r="G12" s="7">
        <v>10000</v>
      </c>
    </row>
    <row r="13" spans="1:7" ht="14.25" customHeight="1" x14ac:dyDescent="0.35">
      <c r="A13" s="7" t="s">
        <v>66</v>
      </c>
      <c r="B13" s="7" t="s">
        <v>10</v>
      </c>
      <c r="D13" s="7">
        <v>200</v>
      </c>
    </row>
    <row r="14" spans="1:7" ht="14.25" customHeight="1" x14ac:dyDescent="0.35">
      <c r="A14" s="7" t="s">
        <v>24</v>
      </c>
      <c r="B14" s="7" t="s">
        <v>25</v>
      </c>
      <c r="C14" s="7" t="s">
        <v>26</v>
      </c>
      <c r="D14" s="7">
        <v>465</v>
      </c>
      <c r="G14" s="7">
        <v>1000</v>
      </c>
    </row>
    <row r="15" spans="1:7" ht="14.25" customHeight="1" x14ac:dyDescent="0.35">
      <c r="A15" s="7" t="s">
        <v>4</v>
      </c>
      <c r="B15" s="7" t="s">
        <v>5</v>
      </c>
      <c r="D15" s="7">
        <v>305</v>
      </c>
    </row>
    <row r="16" spans="1:7" ht="14.25" customHeight="1" x14ac:dyDescent="0.35">
      <c r="A16" s="7" t="s">
        <v>59</v>
      </c>
      <c r="B16" s="7" t="s">
        <v>16</v>
      </c>
      <c r="C16" s="7" t="s">
        <v>40</v>
      </c>
      <c r="D16" s="7">
        <v>505</v>
      </c>
      <c r="F16" s="7">
        <v>107</v>
      </c>
      <c r="G16" s="7">
        <v>11000</v>
      </c>
    </row>
    <row r="17" spans="1:7" ht="14.25" customHeight="1" x14ac:dyDescent="0.35">
      <c r="A17" s="7" t="s">
        <v>38</v>
      </c>
      <c r="B17" s="7" t="s">
        <v>39</v>
      </c>
      <c r="C17" s="7" t="s">
        <v>40</v>
      </c>
      <c r="D17" s="7">
        <v>385</v>
      </c>
      <c r="F17" s="7">
        <v>100</v>
      </c>
      <c r="G17" s="7">
        <v>4000</v>
      </c>
    </row>
    <row r="18" spans="1:7" ht="14.25" customHeight="1" x14ac:dyDescent="0.35">
      <c r="A18" s="7" t="s">
        <v>47</v>
      </c>
      <c r="B18" s="7" t="s">
        <v>48</v>
      </c>
      <c r="C18" s="7" t="s">
        <v>49</v>
      </c>
      <c r="D18" s="7">
        <v>349</v>
      </c>
      <c r="F18" s="7">
        <v>102</v>
      </c>
      <c r="G18" s="7">
        <v>6000</v>
      </c>
    </row>
    <row r="19" spans="1:7" ht="14.25" customHeight="1" x14ac:dyDescent="0.35">
      <c r="A19" s="7" t="s">
        <v>9</v>
      </c>
      <c r="B19" s="7" t="s">
        <v>10</v>
      </c>
      <c r="C19" s="7" t="s">
        <v>5</v>
      </c>
      <c r="D19" s="7">
        <v>510</v>
      </c>
    </row>
    <row r="20" spans="1:7" ht="14.25" customHeight="1" x14ac:dyDescent="0.35">
      <c r="A20" s="7" t="s">
        <v>52</v>
      </c>
      <c r="B20" s="7" t="s">
        <v>48</v>
      </c>
      <c r="D20" s="7">
        <v>253</v>
      </c>
      <c r="F20" s="7">
        <v>103</v>
      </c>
      <c r="G20" s="7">
        <v>7000</v>
      </c>
    </row>
    <row r="21" spans="1:7" ht="14.25" customHeight="1" x14ac:dyDescent="0.35">
      <c r="A21" s="7" t="s">
        <v>20</v>
      </c>
      <c r="B21" s="7" t="s">
        <v>10</v>
      </c>
      <c r="C21" s="7" t="s">
        <v>16</v>
      </c>
      <c r="D21" s="7">
        <v>335</v>
      </c>
    </row>
    <row r="22" spans="1:7" ht="14.25" customHeight="1" x14ac:dyDescent="0.35">
      <c r="A22" s="7" t="s">
        <v>14</v>
      </c>
      <c r="B22" s="7" t="s">
        <v>15</v>
      </c>
      <c r="C22" s="7" t="s">
        <v>16</v>
      </c>
      <c r="D22" s="7">
        <v>490</v>
      </c>
    </row>
    <row r="23" spans="1:7" ht="13.5" customHeight="1" x14ac:dyDescent="0.35"/>
    <row r="24" spans="1:7" ht="9" hidden="1" customHeight="1" x14ac:dyDescent="0.35"/>
    <row r="25" spans="1:7" ht="27.5" customHeight="1" x14ac:dyDescent="0.5">
      <c r="A25" s="11" t="s">
        <v>97</v>
      </c>
      <c r="B25" s="11">
        <f>COUNTA(A1:G22)</f>
        <v>99</v>
      </c>
    </row>
    <row r="26" spans="1:7" ht="14.25" customHeight="1" x14ac:dyDescent="0.35"/>
    <row r="27" spans="1:7" ht="14.25" customHeight="1" x14ac:dyDescent="0.35"/>
    <row r="28" spans="1:7" ht="14.25" customHeight="1" x14ac:dyDescent="0.35"/>
    <row r="29" spans="1:7" ht="14.25" customHeight="1" x14ac:dyDescent="0.35"/>
    <row r="30" spans="1:7" ht="14.25" customHeight="1" x14ac:dyDescent="0.35"/>
    <row r="31" spans="1:7" ht="14.25" customHeight="1" x14ac:dyDescent="0.35"/>
    <row r="32" spans="1: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sortState xmlns:xlrd2="http://schemas.microsoft.com/office/spreadsheetml/2017/richdata2" ref="A2:G22">
    <sortCondition ref="A2:A22"/>
  </sortState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tabSelected="1" zoomScale="128" zoomScaleNormal="140" workbookViewId="0">
      <selection activeCell="E11" sqref="E11"/>
    </sheetView>
  </sheetViews>
  <sheetFormatPr defaultColWidth="12.6328125" defaultRowHeight="15" customHeight="1" x14ac:dyDescent="0.35"/>
  <cols>
    <col min="1" max="1" width="9.6328125" customWidth="1"/>
    <col min="2" max="2" width="11.36328125" customWidth="1"/>
    <col min="3" max="3" width="14.54296875" customWidth="1"/>
    <col min="4" max="4" width="33.6328125" customWidth="1"/>
    <col min="5" max="5" width="36.26953125" bestFit="1" customWidth="1"/>
    <col min="6" max="6" width="13.54296875" customWidth="1"/>
    <col min="7" max="7" width="12.7265625" customWidth="1"/>
    <col min="8" max="26" width="8.6328125" customWidth="1"/>
  </cols>
  <sheetData>
    <row r="1" spans="1:5" ht="14.25" customHeight="1" x14ac:dyDescent="0.35">
      <c r="A1" s="7" t="s">
        <v>74</v>
      </c>
      <c r="B1" s="7" t="s">
        <v>75</v>
      </c>
      <c r="C1" s="7" t="str">
        <f>_xlfn.CONCAT(A1," ",B1)</f>
        <v>Ahmed Waqas</v>
      </c>
      <c r="D1" s="7" t="str">
        <f>(_xlfn.CONCAT(A1:B1,".student@aror.edu.pk"))</f>
        <v>AhmedWaqas.student@aror.edu.pk</v>
      </c>
      <c r="E1" s="7" t="str">
        <f>UPPER(D1)</f>
        <v>AHMEDWAQAS.STUDENT@AROR.EDU.PK</v>
      </c>
    </row>
    <row r="2" spans="1:5" ht="14.25" customHeight="1" x14ac:dyDescent="0.35">
      <c r="A2" s="7" t="s">
        <v>73</v>
      </c>
      <c r="B2" s="7" t="s">
        <v>74</v>
      </c>
      <c r="C2" s="7" t="str">
        <f>_xlfn.CONCAT(A2," ",B2)</f>
        <v>Ali Ahmed</v>
      </c>
      <c r="D2" s="7" t="str">
        <f>(_xlfn.CONCAT(A2:B2,".student@aror.edu.pk"))</f>
        <v>AliAhmed.student@aror.edu.pk</v>
      </c>
      <c r="E2" s="7" t="str">
        <f>UPPER(D2)</f>
        <v>ALIAHMED.STUDENT@AROR.EDU.PK</v>
      </c>
    </row>
    <row r="3" spans="1:5" ht="14.25" customHeight="1" x14ac:dyDescent="0.35">
      <c r="A3" s="7" t="s">
        <v>78</v>
      </c>
      <c r="B3" s="7" t="s">
        <v>73</v>
      </c>
      <c r="C3" s="7" t="str">
        <f>_xlfn.CONCAT(A3," ",B3)</f>
        <v>Ameer  Ali</v>
      </c>
      <c r="D3" s="7" t="str">
        <f>(_xlfn.CONCAT(A3:B3,".student@aror.edu.pk"))</f>
        <v>Ameer Ali.student@aror.edu.pk</v>
      </c>
      <c r="E3" s="7" t="str">
        <f>UPPER(D3)</f>
        <v>AMEER ALI.STUDENT@AROR.EDU.PK</v>
      </c>
    </row>
    <row r="4" spans="1:5" ht="14.25" customHeight="1" x14ac:dyDescent="0.35">
      <c r="A4" s="7" t="s">
        <v>69</v>
      </c>
      <c r="B4" s="7" t="s">
        <v>70</v>
      </c>
      <c r="C4" s="7" t="s">
        <v>71</v>
      </c>
      <c r="D4" s="7" t="s">
        <v>72</v>
      </c>
    </row>
    <row r="5" spans="1:5" ht="14.25" customHeight="1" x14ac:dyDescent="0.35">
      <c r="A5" s="7" t="s">
        <v>82</v>
      </c>
      <c r="B5" s="7" t="s">
        <v>73</v>
      </c>
      <c r="C5" s="7" t="str">
        <f>_xlfn.CONCAT(A5," ",B5)</f>
        <v>Kamran Ali</v>
      </c>
      <c r="D5" s="7" t="str">
        <f>(_xlfn.CONCAT(A5:B5,".student@aror.edu.pk"))</f>
        <v>KamranAli.student@aror.edu.pk</v>
      </c>
      <c r="E5" s="7" t="str">
        <f>UPPER(D5)</f>
        <v>KAMRANALI.STUDENT@AROR.EDU.PK</v>
      </c>
    </row>
    <row r="6" spans="1:5" ht="14.25" customHeight="1" x14ac:dyDescent="0.35">
      <c r="A6" s="7" t="s">
        <v>81</v>
      </c>
      <c r="B6" s="7" t="s">
        <v>73</v>
      </c>
      <c r="C6" s="7" t="str">
        <f>_xlfn.CONCAT(A6," ",B6)</f>
        <v>Masoma Ali</v>
      </c>
      <c r="D6" s="7" t="str">
        <f>(_xlfn.CONCAT(A6:B6,".student@aror.edu.pk"))</f>
        <v>MasomaAli.student@aror.edu.pk</v>
      </c>
      <c r="E6" s="7" t="str">
        <f>UPPER(D6)</f>
        <v>MASOMAALI.STUDENT@AROR.EDU.PK</v>
      </c>
    </row>
    <row r="7" spans="1:5" ht="14.25" customHeight="1" x14ac:dyDescent="0.35">
      <c r="A7" s="7" t="s">
        <v>76</v>
      </c>
      <c r="B7" s="7" t="s">
        <v>77</v>
      </c>
      <c r="C7" s="7" t="str">
        <f>_xlfn.CONCAT(A7," ",B7)</f>
        <v>Sanam Murtaza</v>
      </c>
      <c r="D7" s="7" t="str">
        <f>(_xlfn.CONCAT(A7:B7,".student@aror.edu.pk"))</f>
        <v>SanamMurtaza.student@aror.edu.pk</v>
      </c>
      <c r="E7" s="7" t="str">
        <f>UPPER(D7)</f>
        <v>SANAMMURTAZA.STUDENT@AROR.EDU.PK</v>
      </c>
    </row>
    <row r="8" spans="1:5" ht="14.25" customHeight="1" x14ac:dyDescent="0.35">
      <c r="A8" s="7" t="s">
        <v>79</v>
      </c>
      <c r="B8" s="7" t="s">
        <v>80</v>
      </c>
      <c r="C8" s="7" t="str">
        <f>_xlfn.CONCAT(A8," ",B8)</f>
        <v>Zainab Khan</v>
      </c>
      <c r="D8" s="7" t="str">
        <f>(_xlfn.CONCAT(A8:B8,".student@aror.edu.pk"))</f>
        <v>ZainabKhan.student@aror.edu.pk</v>
      </c>
      <c r="E8" s="7" t="str">
        <f>UPPER(D8)</f>
        <v>ZAINABKHAN.STUDENT@AROR.EDU.PK</v>
      </c>
    </row>
    <row r="9" spans="1:5" ht="14.25" customHeight="1" x14ac:dyDescent="0.35"/>
    <row r="10" spans="1:5" ht="14.25" customHeight="1" x14ac:dyDescent="0.35">
      <c r="A10" s="7"/>
    </row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sortState xmlns:xlrd2="http://schemas.microsoft.com/office/spreadsheetml/2017/richdata2" ref="A1:E8">
    <sortCondition ref="A1:A8"/>
  </sortState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1000"/>
  <sheetViews>
    <sheetView zoomScale="133" workbookViewId="0">
      <selection activeCell="D11" sqref="D11"/>
    </sheetView>
  </sheetViews>
  <sheetFormatPr defaultColWidth="12.6328125" defaultRowHeight="15" customHeight="1" x14ac:dyDescent="0.35"/>
  <cols>
    <col min="1" max="26" width="8.6328125" customWidth="1"/>
  </cols>
  <sheetData>
    <row r="1" spans="2:3" ht="14.25" customHeight="1" x14ac:dyDescent="0.35"/>
    <row r="2" spans="2:3" ht="14.25" customHeight="1" x14ac:dyDescent="0.35">
      <c r="B2" s="7" t="s">
        <v>83</v>
      </c>
      <c r="C2" s="7" t="s">
        <v>84</v>
      </c>
    </row>
    <row r="3" spans="2:3" ht="14.25" customHeight="1" x14ac:dyDescent="0.35">
      <c r="B3" s="7">
        <v>40</v>
      </c>
      <c r="C3" s="7" t="str">
        <f t="shared" ref="C3:C10" si="0">IF(B3&lt;50,"Fail","Pass")</f>
        <v>Fail</v>
      </c>
    </row>
    <row r="4" spans="2:3" ht="14.25" customHeight="1" x14ac:dyDescent="0.35">
      <c r="B4" s="7">
        <v>50</v>
      </c>
      <c r="C4" s="7" t="str">
        <f t="shared" si="0"/>
        <v>Pass</v>
      </c>
    </row>
    <row r="5" spans="2:3" ht="14.25" customHeight="1" x14ac:dyDescent="0.35">
      <c r="B5" s="7">
        <v>43</v>
      </c>
      <c r="C5" s="7" t="str">
        <f t="shared" si="0"/>
        <v>Fail</v>
      </c>
    </row>
    <row r="6" spans="2:3" ht="14.25" customHeight="1" x14ac:dyDescent="0.35">
      <c r="B6" s="7">
        <v>66</v>
      </c>
      <c r="C6" s="7" t="str">
        <f t="shared" si="0"/>
        <v>Pass</v>
      </c>
    </row>
    <row r="7" spans="2:3" ht="14.25" customHeight="1" x14ac:dyDescent="0.35">
      <c r="B7" s="7">
        <v>43</v>
      </c>
      <c r="C7" s="7" t="str">
        <f t="shared" si="0"/>
        <v>Fail</v>
      </c>
    </row>
    <row r="8" spans="2:3" ht="14.25" customHeight="1" x14ac:dyDescent="0.35">
      <c r="B8" s="7">
        <v>88</v>
      </c>
      <c r="C8" s="7" t="str">
        <f t="shared" si="0"/>
        <v>Pass</v>
      </c>
    </row>
    <row r="9" spans="2:3" ht="14.25" customHeight="1" x14ac:dyDescent="0.35">
      <c r="B9" s="7">
        <v>76</v>
      </c>
      <c r="C9" s="7" t="str">
        <f t="shared" si="0"/>
        <v>Pass</v>
      </c>
    </row>
    <row r="10" spans="2:3" ht="14.25" customHeight="1" x14ac:dyDescent="0.35">
      <c r="B10" s="7">
        <v>56</v>
      </c>
      <c r="C10" s="7" t="str">
        <f t="shared" si="0"/>
        <v>Pass</v>
      </c>
    </row>
    <row r="11" spans="2:3" ht="14.25" customHeight="1" x14ac:dyDescent="0.35"/>
    <row r="12" spans="2:3" ht="14.25" customHeight="1" x14ac:dyDescent="0.35"/>
    <row r="13" spans="2:3" ht="14.25" customHeight="1" x14ac:dyDescent="0.35"/>
    <row r="14" spans="2:3" ht="14.25" customHeight="1" x14ac:dyDescent="0.35"/>
    <row r="15" spans="2:3" ht="14.25" customHeight="1" x14ac:dyDescent="0.35"/>
    <row r="16" spans="2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zoomScale="122" workbookViewId="0">
      <selection activeCell="F9" sqref="F9"/>
    </sheetView>
  </sheetViews>
  <sheetFormatPr defaultColWidth="12.6328125" defaultRowHeight="15" customHeight="1" x14ac:dyDescent="0.35"/>
  <cols>
    <col min="2" max="2" width="12.90625" customWidth="1"/>
    <col min="3" max="3" width="8.6328125" customWidth="1"/>
    <col min="4" max="4" width="12.36328125" customWidth="1"/>
    <col min="5" max="5" width="8.6328125" customWidth="1"/>
    <col min="6" max="6" width="20.26953125" customWidth="1"/>
    <col min="7" max="27" width="8.6328125" customWidth="1"/>
  </cols>
  <sheetData>
    <row r="1" spans="1:6" ht="14.25" customHeight="1" x14ac:dyDescent="0.35">
      <c r="A1" s="17" t="s">
        <v>85</v>
      </c>
      <c r="B1" s="17"/>
      <c r="C1" s="17"/>
      <c r="D1" s="17"/>
      <c r="E1" s="17"/>
      <c r="F1" s="17"/>
    </row>
    <row r="2" spans="1:6" ht="14.25" customHeight="1" x14ac:dyDescent="0.35">
      <c r="A2" s="12" t="s">
        <v>98</v>
      </c>
      <c r="B2" s="13" t="s">
        <v>86</v>
      </c>
      <c r="C2" s="13" t="s">
        <v>87</v>
      </c>
      <c r="D2" s="13" t="s">
        <v>88</v>
      </c>
      <c r="E2" s="13" t="s">
        <v>89</v>
      </c>
      <c r="F2" s="13" t="s">
        <v>90</v>
      </c>
    </row>
    <row r="3" spans="1:6" ht="14.25" customHeight="1" x14ac:dyDescent="0.35">
      <c r="A3" s="14">
        <v>1</v>
      </c>
      <c r="B3" s="13" t="s">
        <v>91</v>
      </c>
      <c r="C3" s="13">
        <v>22</v>
      </c>
      <c r="D3" s="13">
        <v>800</v>
      </c>
      <c r="E3" s="15">
        <f t="shared" ref="E3:E8" si="0">C3*D3</f>
        <v>17600</v>
      </c>
      <c r="F3" s="15" t="str">
        <f>IF(E3&lt; 5000," too Low", " normal" )</f>
        <v xml:space="preserve"> normal</v>
      </c>
    </row>
    <row r="4" spans="1:6" ht="14.25" customHeight="1" x14ac:dyDescent="0.35">
      <c r="A4" s="14">
        <v>2</v>
      </c>
      <c r="B4" s="15" t="s">
        <v>92</v>
      </c>
      <c r="C4" s="15">
        <v>2</v>
      </c>
      <c r="D4" s="15">
        <v>250</v>
      </c>
      <c r="E4" s="15">
        <f t="shared" si="0"/>
        <v>500</v>
      </c>
      <c r="F4" s="15" t="str">
        <f t="shared" ref="F4:F8" si="1">IF(E4&lt; 5000," too Low", " normal" )</f>
        <v xml:space="preserve"> too Low</v>
      </c>
    </row>
    <row r="5" spans="1:6" ht="14.25" customHeight="1" x14ac:dyDescent="0.35">
      <c r="A5" s="14">
        <v>3</v>
      </c>
      <c r="B5" s="15" t="s">
        <v>93</v>
      </c>
      <c r="C5" s="15">
        <v>5</v>
      </c>
      <c r="D5" s="15">
        <v>5000</v>
      </c>
      <c r="E5" s="15">
        <f t="shared" si="0"/>
        <v>25000</v>
      </c>
      <c r="F5" s="15" t="str">
        <f t="shared" si="1"/>
        <v xml:space="preserve"> normal</v>
      </c>
    </row>
    <row r="6" spans="1:6" ht="14.25" customHeight="1" x14ac:dyDescent="0.35">
      <c r="A6" s="14">
        <v>4</v>
      </c>
      <c r="B6" s="13" t="s">
        <v>94</v>
      </c>
      <c r="C6" s="13">
        <v>2</v>
      </c>
      <c r="D6" s="13">
        <v>2000</v>
      </c>
      <c r="E6" s="15">
        <f t="shared" si="0"/>
        <v>4000</v>
      </c>
      <c r="F6" s="15" t="str">
        <f t="shared" si="1"/>
        <v xml:space="preserve"> too Low</v>
      </c>
    </row>
    <row r="7" spans="1:6" ht="14.25" customHeight="1" x14ac:dyDescent="0.35">
      <c r="A7" s="14">
        <v>5</v>
      </c>
      <c r="B7" s="15" t="s">
        <v>95</v>
      </c>
      <c r="C7" s="15">
        <v>12</v>
      </c>
      <c r="D7" s="15">
        <v>4000</v>
      </c>
      <c r="E7" s="15">
        <f t="shared" si="0"/>
        <v>48000</v>
      </c>
      <c r="F7" s="15" t="str">
        <f t="shared" si="1"/>
        <v xml:space="preserve"> normal</v>
      </c>
    </row>
    <row r="8" spans="1:6" ht="14.25" customHeight="1" x14ac:dyDescent="0.35">
      <c r="A8" s="14">
        <v>6</v>
      </c>
      <c r="B8" s="15" t="s">
        <v>96</v>
      </c>
      <c r="C8" s="15">
        <v>12</v>
      </c>
      <c r="D8" s="15">
        <v>800</v>
      </c>
      <c r="E8" s="15">
        <f t="shared" si="0"/>
        <v>9600</v>
      </c>
      <c r="F8" s="15" t="str">
        <f t="shared" si="1"/>
        <v xml:space="preserve"> normal</v>
      </c>
    </row>
    <row r="9" spans="1:6" ht="14.25" customHeight="1" x14ac:dyDescent="0.35"/>
    <row r="10" spans="1:6" ht="14.25" customHeight="1" x14ac:dyDescent="0.35"/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B2:F8" xr:uid="{00000000-0009-0000-0000-000004000000}"/>
  <mergeCells count="1">
    <mergeCell ref="A1:F1"/>
  </mergeCells>
  <conditionalFormatting sqref="E3:E8">
    <cfRule type="cellIs" dxfId="0" priority="1" operator="lessThan">
      <formula>5000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 3 </vt:lpstr>
      <vt:lpstr>Sheet5</vt:lpstr>
      <vt:lpstr>Task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Taha</dc:creator>
  <cp:lastModifiedBy>Muhammad Taha</cp:lastModifiedBy>
  <dcterms:created xsi:type="dcterms:W3CDTF">2025-10-03T05:17:11Z</dcterms:created>
  <dcterms:modified xsi:type="dcterms:W3CDTF">2025-10-08T04:21:54Z</dcterms:modified>
</cp:coreProperties>
</file>